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lireza.mohammadshafie/Documents/hydrocare/labeled/"/>
    </mc:Choice>
  </mc:AlternateContent>
  <xr:revisionPtr revIDLastSave="0" documentId="13_ncr:1_{2DD9E1B3-29AE-444A-9FA5-6C9FCCC63F57}" xr6:coauthVersionLast="47" xr6:coauthVersionMax="47" xr10:uidLastSave="{00000000-0000-0000-0000-000000000000}"/>
  <bookViews>
    <workbookView xWindow="-32000" yWindow="2140" windowWidth="3200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1" l="1"/>
  <c r="K32" i="1"/>
  <c r="K31" i="1"/>
  <c r="K30" i="1"/>
  <c r="K29" i="1"/>
  <c r="K27" i="1"/>
  <c r="K26" i="1"/>
  <c r="K25" i="1"/>
  <c r="K24" i="1"/>
  <c r="K23" i="1"/>
  <c r="K22" i="1"/>
  <c r="K21" i="1"/>
  <c r="K20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" i="1"/>
</calcChain>
</file>

<file path=xl/sharedStrings.xml><?xml version="1.0" encoding="utf-8"?>
<sst xmlns="http://schemas.openxmlformats.org/spreadsheetml/2006/main" count="199" uniqueCount="53">
  <si>
    <t xml:space="preserve">Name </t>
  </si>
  <si>
    <t>ID</t>
  </si>
  <si>
    <t>Gender</t>
  </si>
  <si>
    <t>containers weight</t>
  </si>
  <si>
    <t>Density</t>
  </si>
  <si>
    <t>whole weight</t>
  </si>
  <si>
    <t>type of drink</t>
  </si>
  <si>
    <t>type of container</t>
  </si>
  <si>
    <t>straw</t>
  </si>
  <si>
    <t>weight at first after opening</t>
  </si>
  <si>
    <t>after first sip</t>
  </si>
  <si>
    <t>after second sip</t>
  </si>
  <si>
    <t>3rd</t>
  </si>
  <si>
    <t>4th</t>
  </si>
  <si>
    <t>Male</t>
  </si>
  <si>
    <t>water bottle</t>
  </si>
  <si>
    <t>N</t>
  </si>
  <si>
    <t>Arnav</t>
  </si>
  <si>
    <t>Female</t>
  </si>
  <si>
    <t>coke-reg</t>
  </si>
  <si>
    <t>Y</t>
  </si>
  <si>
    <t>coke-zero</t>
  </si>
  <si>
    <t>zero coke</t>
  </si>
  <si>
    <t>reg coke</t>
  </si>
  <si>
    <t>298-289.5</t>
  </si>
  <si>
    <t>coke reg</t>
  </si>
  <si>
    <t>Lab guy</t>
  </si>
  <si>
    <t>male</t>
  </si>
  <si>
    <t>541-541.6 with straw</t>
  </si>
  <si>
    <t>after one sip- 472.9</t>
  </si>
  <si>
    <t>female</t>
  </si>
  <si>
    <t>289- with lid 292.2</t>
  </si>
  <si>
    <t>coke zero</t>
  </si>
  <si>
    <t>264 with mate</t>
  </si>
  <si>
    <t>zero coke cup</t>
  </si>
  <si>
    <t>water cup</t>
  </si>
  <si>
    <t>254.2-251.1 without lid</t>
  </si>
  <si>
    <t>coffee mug</t>
  </si>
  <si>
    <t>554.1 with mate</t>
  </si>
  <si>
    <t>change position= 499.7</t>
  </si>
  <si>
    <t>604.8 with mate</t>
  </si>
  <si>
    <t xml:space="preserve">water cup </t>
  </si>
  <si>
    <t>fEMALE</t>
  </si>
  <si>
    <t>362.8 with straw</t>
  </si>
  <si>
    <t>famale</t>
  </si>
  <si>
    <t>n</t>
  </si>
  <si>
    <t>y</t>
  </si>
  <si>
    <t>coffee cup</t>
  </si>
  <si>
    <t xml:space="preserve">  </t>
  </si>
  <si>
    <t>d</t>
  </si>
  <si>
    <t xml:space="preserve"> coffee mug</t>
  </si>
  <si>
    <t>coffee cup with mate no lid</t>
  </si>
  <si>
    <t xml:space="preserve">coffee cup with mate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</si>
</sst>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FFFF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3" fillId="4" borderId="0" xfId="0" applyFont="1" applyFill="1"/>
    <xf numFmtId="0" fontId="2" fillId="4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58"/>
  <sheetViews>
    <sheetView tabSelected="1" zoomScale="180" zoomScaleNormal="180" workbookViewId="0">
      <selection activeCell="E2" sqref="E2"/>
    </sheetView>
  </sheetViews>
  <sheetFormatPr baseColWidth="10" defaultColWidth="12.6640625" defaultRowHeight="15.75" customHeight="1" x14ac:dyDescent="0.15"/>
  <cols>
    <col min="1" max="1" width="11" customWidth="1"/>
    <col min="4" max="5" width="16" customWidth="1"/>
    <col min="7" max="7" width="23" customWidth="1"/>
    <col min="8" max="8" width="14.33203125" customWidth="1"/>
    <col min="9" max="9" width="7.6640625" customWidth="1"/>
    <col min="10" max="10" width="27.1640625" customWidth="1"/>
    <col min="11" max="11" width="3.5" customWidth="1"/>
    <col min="12" max="12" width="26.1640625" customWidth="1"/>
    <col min="17" max="17" width="18.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e">
        <f t="shared" ref="K1:K3" si="0">(J1-L1)/E1</f>
        <v>#VALUE!</v>
      </c>
      <c r="L1" s="1" t="s">
        <v>10</v>
      </c>
      <c r="M1" s="1" t="s">
        <v>11</v>
      </c>
      <c r="N1" s="1" t="s">
        <v>12</v>
      </c>
      <c r="O1" s="1" t="s">
        <v>13</v>
      </c>
      <c r="P1" s="1">
        <v>5</v>
      </c>
      <c r="Q1" s="1">
        <v>6</v>
      </c>
      <c r="R1" s="1">
        <v>7</v>
      </c>
      <c r="S1" s="1">
        <v>8</v>
      </c>
      <c r="T1" s="1">
        <v>9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</row>
    <row r="2" spans="1:25" s="5" customFormat="1" ht="15.75" customHeight="1" x14ac:dyDescent="0.15">
      <c r="A2" s="4" t="s">
        <v>17</v>
      </c>
      <c r="B2" s="4">
        <v>6</v>
      </c>
      <c r="C2" s="4" t="s">
        <v>14</v>
      </c>
      <c r="F2" s="4">
        <v>540.4</v>
      </c>
      <c r="G2" s="4" t="s">
        <v>25</v>
      </c>
      <c r="I2" s="6" t="s">
        <v>16</v>
      </c>
      <c r="J2" s="4">
        <v>538.6</v>
      </c>
      <c r="K2" s="4" t="e">
        <f t="shared" si="0"/>
        <v>#DIV/0!</v>
      </c>
      <c r="L2" s="4">
        <v>465.2</v>
      </c>
      <c r="M2" s="4">
        <v>404.3</v>
      </c>
      <c r="N2" s="4">
        <v>339.3</v>
      </c>
      <c r="O2" s="4">
        <v>267</v>
      </c>
      <c r="P2" s="4">
        <v>220.2</v>
      </c>
      <c r="Q2" s="4">
        <v>190.9</v>
      </c>
    </row>
    <row r="3" spans="1:25" s="5" customFormat="1" ht="15.75" customHeight="1" x14ac:dyDescent="0.15">
      <c r="B3" s="4">
        <v>7</v>
      </c>
      <c r="C3" s="4" t="s">
        <v>14</v>
      </c>
      <c r="E3" s="7" t="s">
        <v>48</v>
      </c>
      <c r="F3" s="4">
        <v>272.60000000000002</v>
      </c>
      <c r="G3" s="8" t="s">
        <v>47</v>
      </c>
      <c r="I3" s="6" t="s">
        <v>16</v>
      </c>
      <c r="J3" s="4">
        <v>272.60000000000002</v>
      </c>
      <c r="K3" s="4" t="e">
        <f t="shared" si="0"/>
        <v>#VALUE!</v>
      </c>
      <c r="L3" s="4">
        <v>261</v>
      </c>
      <c r="M3" s="4">
        <v>246.7</v>
      </c>
      <c r="N3" s="4">
        <v>234.1</v>
      </c>
      <c r="O3" s="4">
        <v>221.5</v>
      </c>
      <c r="P3" s="4">
        <v>210.3</v>
      </c>
      <c r="Q3" s="4">
        <v>190.5</v>
      </c>
      <c r="R3" s="4">
        <v>173.4</v>
      </c>
    </row>
    <row r="4" spans="1:25" s="5" customFormat="1" ht="15.75" customHeight="1" x14ac:dyDescent="0.15">
      <c r="B4" s="4">
        <v>8</v>
      </c>
      <c r="C4" s="4" t="s">
        <v>18</v>
      </c>
      <c r="F4" s="4">
        <v>542.6</v>
      </c>
      <c r="G4" s="4" t="s">
        <v>19</v>
      </c>
      <c r="I4" s="6" t="s">
        <v>16</v>
      </c>
      <c r="J4" s="4">
        <v>540.6</v>
      </c>
      <c r="K4" s="4">
        <f t="shared" ref="K4:K18" si="1">J4-L4</f>
        <v>15.800000000000068</v>
      </c>
      <c r="L4" s="4">
        <v>524.79999999999995</v>
      </c>
      <c r="M4" s="4">
        <v>501.6</v>
      </c>
      <c r="N4" s="4">
        <v>480.1</v>
      </c>
      <c r="O4" s="4">
        <v>470.5</v>
      </c>
      <c r="P4" s="4">
        <v>459.5</v>
      </c>
      <c r="Q4" s="4">
        <v>450.7</v>
      </c>
    </row>
    <row r="5" spans="1:25" s="5" customFormat="1" ht="15.75" customHeight="1" x14ac:dyDescent="0.15">
      <c r="B5" s="4">
        <v>9</v>
      </c>
      <c r="C5" s="4" t="s">
        <v>18</v>
      </c>
      <c r="F5" s="4">
        <v>542.9</v>
      </c>
      <c r="G5" s="4" t="s">
        <v>19</v>
      </c>
      <c r="I5" s="3" t="s">
        <v>20</v>
      </c>
      <c r="J5" s="4">
        <v>540.79999999999995</v>
      </c>
      <c r="K5" s="4">
        <f t="shared" si="1"/>
        <v>9.0999999999999091</v>
      </c>
      <c r="L5" s="4">
        <v>531.70000000000005</v>
      </c>
      <c r="M5" s="4">
        <v>519.29999999999995</v>
      </c>
      <c r="N5" s="4">
        <v>507.9</v>
      </c>
      <c r="O5" s="4">
        <v>493.9</v>
      </c>
      <c r="P5" s="4">
        <v>480</v>
      </c>
      <c r="Q5" s="4">
        <v>465.3</v>
      </c>
      <c r="R5" s="4">
        <v>449.9</v>
      </c>
    </row>
    <row r="6" spans="1:25" s="5" customFormat="1" ht="15.75" customHeight="1" x14ac:dyDescent="0.15">
      <c r="B6" s="4">
        <v>10</v>
      </c>
      <c r="C6" s="4" t="s">
        <v>18</v>
      </c>
      <c r="F6" s="4">
        <v>521.70000000000005</v>
      </c>
      <c r="G6" s="4" t="s">
        <v>21</v>
      </c>
      <c r="I6" s="6" t="s">
        <v>16</v>
      </c>
      <c r="J6" s="4">
        <v>518.79999999999995</v>
      </c>
      <c r="K6" s="4">
        <f t="shared" si="1"/>
        <v>2.6999999999999318</v>
      </c>
      <c r="L6" s="4">
        <v>516.1</v>
      </c>
      <c r="M6" s="4">
        <v>512.1</v>
      </c>
      <c r="N6" s="4">
        <v>510.3</v>
      </c>
      <c r="O6" s="4">
        <v>506.8</v>
      </c>
      <c r="P6" s="4">
        <v>504.7</v>
      </c>
      <c r="Q6" s="4">
        <v>498.9</v>
      </c>
      <c r="R6" s="4">
        <v>497.2</v>
      </c>
      <c r="S6" s="4">
        <v>494.2</v>
      </c>
    </row>
    <row r="7" spans="1:25" s="5" customFormat="1" ht="15.75" customHeight="1" x14ac:dyDescent="0.15">
      <c r="B7" s="4">
        <v>11</v>
      </c>
      <c r="C7" s="4" t="s">
        <v>18</v>
      </c>
      <c r="F7" s="4">
        <v>228.4</v>
      </c>
      <c r="G7" s="4" t="s">
        <v>51</v>
      </c>
      <c r="I7" s="6" t="s">
        <v>16</v>
      </c>
      <c r="J7" s="4">
        <v>228.4</v>
      </c>
      <c r="K7" s="4">
        <f t="shared" si="1"/>
        <v>9.0999999999999943</v>
      </c>
      <c r="L7" s="4">
        <v>219.3</v>
      </c>
      <c r="M7" s="4">
        <v>198.8</v>
      </c>
      <c r="N7" s="4">
        <v>179.9</v>
      </c>
      <c r="O7" s="4">
        <v>139.80000000000001</v>
      </c>
      <c r="P7" s="4">
        <v>126.7</v>
      </c>
      <c r="Q7" s="4">
        <v>120</v>
      </c>
      <c r="R7" s="4">
        <v>97.3</v>
      </c>
      <c r="S7" s="4">
        <v>75.3</v>
      </c>
    </row>
    <row r="8" spans="1:25" s="5" customFormat="1" ht="15.75" customHeight="1" x14ac:dyDescent="0.15">
      <c r="B8" s="4">
        <v>12</v>
      </c>
      <c r="C8" s="4" t="s">
        <v>18</v>
      </c>
      <c r="F8" s="4">
        <v>519.4</v>
      </c>
      <c r="G8" s="4" t="s">
        <v>15</v>
      </c>
      <c r="I8" s="3" t="s">
        <v>20</v>
      </c>
      <c r="J8" s="4">
        <v>519.20000000000005</v>
      </c>
      <c r="K8" s="4">
        <f t="shared" si="1"/>
        <v>41.000000000000057</v>
      </c>
      <c r="L8" s="4">
        <v>478.2</v>
      </c>
      <c r="M8" s="4">
        <v>424.4</v>
      </c>
      <c r="N8" s="4">
        <v>363</v>
      </c>
      <c r="O8" s="4">
        <v>316.2</v>
      </c>
      <c r="P8" s="4">
        <v>255.2</v>
      </c>
      <c r="Q8" s="4">
        <v>204.8</v>
      </c>
      <c r="R8" s="4">
        <v>160</v>
      </c>
      <c r="S8" s="4">
        <v>101.6</v>
      </c>
      <c r="T8" s="4">
        <v>62.6</v>
      </c>
      <c r="U8" s="4">
        <v>24.2</v>
      </c>
      <c r="V8" s="4">
        <v>11.5</v>
      </c>
    </row>
    <row r="9" spans="1:25" s="5" customFormat="1" ht="15.75" customHeight="1" x14ac:dyDescent="0.15">
      <c r="B9" s="4">
        <v>13</v>
      </c>
      <c r="C9" s="4" t="s">
        <v>14</v>
      </c>
      <c r="F9" s="4">
        <v>521.20000000000005</v>
      </c>
      <c r="G9" s="4" t="s">
        <v>22</v>
      </c>
      <c r="I9" s="6" t="s">
        <v>16</v>
      </c>
      <c r="J9" s="4">
        <v>519.29999999999995</v>
      </c>
      <c r="K9" s="4">
        <f t="shared" si="1"/>
        <v>26.599999999999966</v>
      </c>
      <c r="L9" s="4">
        <v>492.7</v>
      </c>
      <c r="M9" s="4">
        <v>471.9</v>
      </c>
      <c r="N9" s="4">
        <v>450.8</v>
      </c>
      <c r="O9" s="4">
        <v>431</v>
      </c>
      <c r="P9" s="4">
        <v>410.4</v>
      </c>
      <c r="Q9" s="4">
        <v>388.4</v>
      </c>
      <c r="R9" s="4">
        <v>366.4</v>
      </c>
      <c r="S9" s="4">
        <v>345.5</v>
      </c>
      <c r="T9" s="4">
        <v>323.2</v>
      </c>
      <c r="U9" s="4">
        <v>302.5</v>
      </c>
      <c r="V9" s="4">
        <v>283.60000000000002</v>
      </c>
      <c r="W9" s="4">
        <v>269.10000000000002</v>
      </c>
    </row>
    <row r="10" spans="1:25" s="5" customFormat="1" ht="15.75" customHeight="1" x14ac:dyDescent="0.15">
      <c r="B10" s="4">
        <v>14</v>
      </c>
      <c r="C10" s="4" t="s">
        <v>18</v>
      </c>
      <c r="F10" s="4">
        <v>515.9</v>
      </c>
      <c r="G10" s="4" t="s">
        <v>15</v>
      </c>
      <c r="I10" s="6" t="s">
        <v>16</v>
      </c>
      <c r="J10" s="4">
        <v>515.20000000000005</v>
      </c>
      <c r="K10" s="4">
        <f t="shared" si="1"/>
        <v>87.800000000000068</v>
      </c>
      <c r="L10" s="4">
        <v>427.4</v>
      </c>
      <c r="M10" s="4">
        <v>374.2</v>
      </c>
      <c r="N10" s="4">
        <v>330.4</v>
      </c>
      <c r="O10" s="4">
        <v>291.3</v>
      </c>
      <c r="P10" s="4">
        <v>255</v>
      </c>
      <c r="Q10" s="4">
        <v>221.2</v>
      </c>
      <c r="R10" s="4">
        <v>166.9</v>
      </c>
      <c r="S10" s="4">
        <v>108.2</v>
      </c>
      <c r="T10" s="4">
        <v>49.5</v>
      </c>
      <c r="U10" s="4">
        <v>9.5</v>
      </c>
    </row>
    <row r="11" spans="1:25" s="5" customFormat="1" ht="15.75" customHeight="1" x14ac:dyDescent="0.15">
      <c r="B11" s="4">
        <v>15</v>
      </c>
      <c r="C11" s="4" t="s">
        <v>18</v>
      </c>
      <c r="F11" s="4">
        <v>547.20000000000005</v>
      </c>
      <c r="G11" s="4" t="s">
        <v>23</v>
      </c>
      <c r="I11" s="3" t="s">
        <v>20</v>
      </c>
      <c r="J11" s="4">
        <v>545.70000000000005</v>
      </c>
      <c r="K11" s="4">
        <f t="shared" si="1"/>
        <v>11.900000000000091</v>
      </c>
      <c r="L11" s="4">
        <v>533.79999999999995</v>
      </c>
      <c r="M11" s="4">
        <v>516.4</v>
      </c>
      <c r="N11" s="4">
        <v>497.3</v>
      </c>
      <c r="O11" s="4">
        <v>475</v>
      </c>
      <c r="P11" s="4">
        <v>455.6</v>
      </c>
      <c r="Q11" s="4">
        <v>430.9</v>
      </c>
      <c r="R11" s="4">
        <v>414.2</v>
      </c>
    </row>
    <row r="12" spans="1:25" s="5" customFormat="1" ht="15.75" customHeight="1" x14ac:dyDescent="0.15">
      <c r="B12" s="4">
        <v>16</v>
      </c>
      <c r="C12" s="4" t="s">
        <v>18</v>
      </c>
      <c r="F12" s="4">
        <v>295.10000000000002</v>
      </c>
      <c r="G12" s="4" t="s">
        <v>47</v>
      </c>
      <c r="I12" s="6" t="s">
        <v>16</v>
      </c>
      <c r="J12" s="4" t="s">
        <v>24</v>
      </c>
      <c r="K12" s="4" t="e">
        <f t="shared" si="1"/>
        <v>#VALUE!</v>
      </c>
      <c r="L12" s="4">
        <v>279.89999999999998</v>
      </c>
      <c r="M12" s="4">
        <v>265.60000000000002</v>
      </c>
      <c r="N12" s="4">
        <v>251.2</v>
      </c>
      <c r="O12" s="4">
        <v>236.4</v>
      </c>
      <c r="P12" s="4">
        <v>221.1</v>
      </c>
      <c r="Q12" s="4">
        <v>205.4</v>
      </c>
      <c r="R12" s="4">
        <v>192.5</v>
      </c>
      <c r="S12" s="4">
        <v>181.6</v>
      </c>
      <c r="T12" s="4">
        <v>171</v>
      </c>
      <c r="U12" s="4">
        <v>159.30000000000001</v>
      </c>
      <c r="V12" s="4">
        <v>146.6</v>
      </c>
      <c r="W12" s="4">
        <v>136.80000000000001</v>
      </c>
      <c r="X12" s="4">
        <v>127.5</v>
      </c>
      <c r="Y12" s="4">
        <v>117.6</v>
      </c>
    </row>
    <row r="13" spans="1:25" s="5" customFormat="1" ht="15.75" customHeight="1" x14ac:dyDescent="0.15">
      <c r="B13" s="4">
        <v>17</v>
      </c>
      <c r="C13" s="4" t="s">
        <v>18</v>
      </c>
      <c r="F13" s="4">
        <v>542</v>
      </c>
      <c r="G13" s="4" t="s">
        <v>25</v>
      </c>
      <c r="I13" s="6" t="s">
        <v>16</v>
      </c>
      <c r="J13" s="4">
        <v>539.79999999999995</v>
      </c>
      <c r="K13" s="4">
        <f t="shared" si="1"/>
        <v>25.799999999999955</v>
      </c>
      <c r="L13" s="4">
        <v>514</v>
      </c>
      <c r="M13" s="4">
        <v>490.8</v>
      </c>
      <c r="N13" s="4">
        <v>479</v>
      </c>
      <c r="O13" s="4">
        <v>468.7</v>
      </c>
      <c r="P13" s="4">
        <v>450</v>
      </c>
      <c r="Q13" s="4">
        <v>432.8</v>
      </c>
      <c r="R13" s="4">
        <v>408.4</v>
      </c>
      <c r="S13" s="4">
        <v>388.4</v>
      </c>
      <c r="T13" s="4">
        <v>366.9</v>
      </c>
    </row>
    <row r="14" spans="1:25" s="5" customFormat="1" ht="15.75" customHeight="1" x14ac:dyDescent="0.15">
      <c r="A14" s="4" t="s">
        <v>26</v>
      </c>
      <c r="B14" s="4">
        <v>18</v>
      </c>
      <c r="C14" s="4" t="s">
        <v>27</v>
      </c>
      <c r="F14" s="4">
        <v>543.29999999999995</v>
      </c>
      <c r="G14" s="4" t="s">
        <v>25</v>
      </c>
      <c r="I14" s="3" t="s">
        <v>20</v>
      </c>
      <c r="J14" s="4" t="s">
        <v>28</v>
      </c>
      <c r="K14" s="4" t="e">
        <f t="shared" si="1"/>
        <v>#VALUE!</v>
      </c>
      <c r="L14" s="4">
        <v>517.6</v>
      </c>
      <c r="M14" s="4">
        <v>504.7</v>
      </c>
      <c r="N14" s="4">
        <v>493.7</v>
      </c>
      <c r="O14" s="4">
        <v>480.4</v>
      </c>
      <c r="P14" s="4">
        <v>468.2</v>
      </c>
      <c r="Q14" s="4">
        <v>456.5</v>
      </c>
      <c r="R14" s="4">
        <v>444.2</v>
      </c>
      <c r="S14" s="4">
        <v>431.9</v>
      </c>
      <c r="T14" s="4">
        <v>420.6</v>
      </c>
      <c r="U14" s="4">
        <v>409.6</v>
      </c>
      <c r="V14" s="4">
        <v>398.8</v>
      </c>
      <c r="W14" s="4">
        <v>387</v>
      </c>
      <c r="X14" s="4">
        <v>377.6</v>
      </c>
      <c r="Y14" s="4">
        <v>365.3</v>
      </c>
    </row>
    <row r="15" spans="1:25" s="5" customFormat="1" ht="15.75" customHeight="1" x14ac:dyDescent="0.15">
      <c r="B15" s="4">
        <v>19</v>
      </c>
      <c r="C15" s="4" t="s">
        <v>27</v>
      </c>
      <c r="F15" s="4">
        <v>518</v>
      </c>
      <c r="G15" s="4" t="s">
        <v>22</v>
      </c>
      <c r="I15" s="6" t="s">
        <v>16</v>
      </c>
      <c r="J15" s="4" t="s">
        <v>29</v>
      </c>
      <c r="K15" s="4" t="e">
        <f t="shared" si="1"/>
        <v>#VALUE!</v>
      </c>
      <c r="L15" s="4">
        <v>410.8</v>
      </c>
      <c r="M15" s="4">
        <v>339.7</v>
      </c>
      <c r="N15" s="4">
        <v>275.2</v>
      </c>
      <c r="O15" s="4">
        <v>204</v>
      </c>
    </row>
    <row r="16" spans="1:25" s="5" customFormat="1" ht="15.75" customHeight="1" x14ac:dyDescent="0.15">
      <c r="B16" s="4">
        <v>20</v>
      </c>
      <c r="C16" s="4" t="s">
        <v>27</v>
      </c>
      <c r="F16" s="4"/>
      <c r="G16" s="4" t="s">
        <v>15</v>
      </c>
      <c r="I16" s="6" t="s">
        <v>16</v>
      </c>
      <c r="J16" s="4">
        <v>485.4</v>
      </c>
      <c r="K16" s="4">
        <f t="shared" si="1"/>
        <v>73.5</v>
      </c>
      <c r="L16" s="4">
        <v>411.9</v>
      </c>
      <c r="M16" s="4">
        <v>352.9</v>
      </c>
      <c r="N16" s="4">
        <v>293.5</v>
      </c>
      <c r="O16" s="4">
        <v>238.2</v>
      </c>
      <c r="P16" s="4">
        <v>180.2</v>
      </c>
      <c r="Q16" s="4">
        <v>120.5</v>
      </c>
      <c r="R16" s="4">
        <v>63.4</v>
      </c>
      <c r="S16" s="4">
        <v>8.5</v>
      </c>
    </row>
    <row r="17" spans="2:28" s="5" customFormat="1" ht="15.75" customHeight="1" x14ac:dyDescent="0.15">
      <c r="B17" s="4">
        <v>21</v>
      </c>
      <c r="C17" s="4" t="s">
        <v>30</v>
      </c>
      <c r="F17" s="4">
        <v>262.7</v>
      </c>
      <c r="G17" s="4" t="s">
        <v>52</v>
      </c>
      <c r="I17" s="6" t="s">
        <v>16</v>
      </c>
      <c r="J17" s="4">
        <v>262.60000000000002</v>
      </c>
      <c r="K17" s="4">
        <f t="shared" si="1"/>
        <v>15.700000000000017</v>
      </c>
      <c r="L17" s="4">
        <v>246.9</v>
      </c>
      <c r="M17" s="4">
        <v>214.4</v>
      </c>
      <c r="N17" s="4">
        <v>193.4</v>
      </c>
      <c r="O17" s="4">
        <v>159.5</v>
      </c>
      <c r="P17" s="4">
        <v>136.4</v>
      </c>
      <c r="Q17" s="4">
        <v>115.9</v>
      </c>
      <c r="R17" s="4">
        <v>97.4</v>
      </c>
    </row>
    <row r="18" spans="2:28" s="5" customFormat="1" ht="15.75" customHeight="1" x14ac:dyDescent="0.15">
      <c r="B18" s="4">
        <v>22</v>
      </c>
      <c r="C18" s="4" t="s">
        <v>30</v>
      </c>
      <c r="F18" s="4">
        <v>280.3</v>
      </c>
      <c r="G18" s="4" t="s">
        <v>47</v>
      </c>
      <c r="I18" s="6" t="s">
        <v>16</v>
      </c>
      <c r="J18" s="4" t="s">
        <v>31</v>
      </c>
      <c r="K18" s="4" t="e">
        <f t="shared" si="1"/>
        <v>#VALUE!</v>
      </c>
      <c r="L18" s="4">
        <v>281.2</v>
      </c>
      <c r="M18" s="4">
        <v>269.39999999999998</v>
      </c>
      <c r="N18" s="4">
        <v>256.60000000000002</v>
      </c>
      <c r="O18" s="4">
        <v>239.9</v>
      </c>
      <c r="P18" s="4">
        <v>222.5</v>
      </c>
      <c r="Q18" s="4">
        <v>201.8</v>
      </c>
      <c r="R18" s="4">
        <v>180.4</v>
      </c>
      <c r="S18" s="4">
        <v>165.7</v>
      </c>
      <c r="T18" s="4">
        <v>145.19999999999999</v>
      </c>
      <c r="U18" s="4">
        <v>126.1</v>
      </c>
      <c r="V18" s="4">
        <v>105.5</v>
      </c>
    </row>
    <row r="19" spans="2:28" s="5" customFormat="1" ht="15.75" customHeight="1" x14ac:dyDescent="0.15">
      <c r="B19" s="4">
        <v>23</v>
      </c>
      <c r="C19" s="4" t="s">
        <v>27</v>
      </c>
      <c r="G19" s="4" t="s">
        <v>25</v>
      </c>
      <c r="I19" s="6" t="s">
        <v>16</v>
      </c>
      <c r="J19" s="4">
        <v>544.70000000000005</v>
      </c>
      <c r="L19" s="4">
        <v>470.7</v>
      </c>
      <c r="M19" s="4">
        <v>422.6</v>
      </c>
      <c r="N19" s="4">
        <v>350.9</v>
      </c>
      <c r="O19" s="4">
        <v>287.89999999999998</v>
      </c>
      <c r="P19" s="4">
        <v>221.7</v>
      </c>
      <c r="Q19" s="4">
        <v>156.5</v>
      </c>
      <c r="R19" s="4">
        <v>99.1</v>
      </c>
      <c r="S19" s="4">
        <v>21.1</v>
      </c>
    </row>
    <row r="20" spans="2:28" s="5" customFormat="1" ht="15.75" customHeight="1" x14ac:dyDescent="0.15">
      <c r="B20" s="4">
        <v>24</v>
      </c>
      <c r="C20" s="4" t="s">
        <v>27</v>
      </c>
      <c r="F20" s="4">
        <v>518.9</v>
      </c>
      <c r="G20" s="4" t="s">
        <v>32</v>
      </c>
      <c r="I20" s="6" t="s">
        <v>16</v>
      </c>
      <c r="J20" s="4">
        <v>517</v>
      </c>
      <c r="K20" s="4">
        <f t="shared" ref="K20:K32" si="2">J20-L20</f>
        <v>19.5</v>
      </c>
      <c r="L20" s="4">
        <v>497.5</v>
      </c>
      <c r="M20" s="4">
        <v>468.7</v>
      </c>
      <c r="N20" s="4">
        <v>445.1</v>
      </c>
      <c r="O20" s="4">
        <v>422.3</v>
      </c>
      <c r="P20" s="4">
        <v>400.8</v>
      </c>
      <c r="Q20" s="4">
        <v>394.6</v>
      </c>
      <c r="R20" s="4">
        <v>381.8</v>
      </c>
      <c r="S20" s="4">
        <v>369.9</v>
      </c>
      <c r="T20" s="4">
        <v>361.5</v>
      </c>
      <c r="U20" s="4">
        <v>354.7</v>
      </c>
    </row>
    <row r="21" spans="2:28" s="5" customFormat="1" ht="15.75" customHeight="1" x14ac:dyDescent="0.15">
      <c r="B21" s="4">
        <v>25</v>
      </c>
      <c r="C21" s="4" t="s">
        <v>27</v>
      </c>
      <c r="F21" s="4">
        <v>237.6</v>
      </c>
      <c r="G21" s="4" t="s">
        <v>47</v>
      </c>
      <c r="I21" s="3" t="s">
        <v>20</v>
      </c>
      <c r="J21" s="4" t="s">
        <v>33</v>
      </c>
      <c r="K21" s="4" t="e">
        <f t="shared" si="2"/>
        <v>#VALUE!</v>
      </c>
      <c r="L21" s="4">
        <v>30.1</v>
      </c>
    </row>
    <row r="22" spans="2:28" s="5" customFormat="1" ht="15.75" customHeight="1" x14ac:dyDescent="0.15">
      <c r="B22" s="4">
        <v>26</v>
      </c>
      <c r="C22" s="4" t="s">
        <v>27</v>
      </c>
      <c r="F22" s="4">
        <v>523.70000000000005</v>
      </c>
      <c r="G22" s="4" t="s">
        <v>22</v>
      </c>
      <c r="I22" s="6" t="s">
        <v>16</v>
      </c>
      <c r="J22" s="4">
        <v>521.5</v>
      </c>
      <c r="K22" s="4">
        <f t="shared" si="2"/>
        <v>35.100000000000023</v>
      </c>
      <c r="L22" s="4">
        <v>486.4</v>
      </c>
      <c r="M22" s="4">
        <v>468.5</v>
      </c>
      <c r="N22" s="4">
        <v>454.5</v>
      </c>
      <c r="O22" s="4">
        <v>444.9</v>
      </c>
      <c r="P22" s="4">
        <v>434.7</v>
      </c>
    </row>
    <row r="23" spans="2:28" s="5" customFormat="1" ht="15.75" customHeight="1" x14ac:dyDescent="0.15">
      <c r="B23" s="4">
        <v>27</v>
      </c>
      <c r="C23" s="4" t="s">
        <v>27</v>
      </c>
      <c r="F23" s="4">
        <v>516.1</v>
      </c>
      <c r="G23" s="4" t="s">
        <v>15</v>
      </c>
      <c r="I23" s="6" t="s">
        <v>16</v>
      </c>
      <c r="J23" s="4">
        <v>515.4</v>
      </c>
      <c r="K23" s="4">
        <f t="shared" si="2"/>
        <v>103.79999999999995</v>
      </c>
      <c r="L23" s="4">
        <v>411.6</v>
      </c>
      <c r="M23" s="4">
        <v>320.10000000000002</v>
      </c>
      <c r="N23" s="4">
        <v>188.4</v>
      </c>
      <c r="O23" s="4">
        <v>95.5</v>
      </c>
      <c r="P23" s="4">
        <v>9.8000000000000007</v>
      </c>
    </row>
    <row r="24" spans="2:28" s="5" customFormat="1" ht="15.75" customHeight="1" x14ac:dyDescent="0.15">
      <c r="B24" s="4">
        <v>28</v>
      </c>
      <c r="C24" s="4" t="s">
        <v>27</v>
      </c>
      <c r="F24" s="4">
        <v>201.8</v>
      </c>
      <c r="G24" s="4" t="s">
        <v>34</v>
      </c>
      <c r="I24" s="6" t="s">
        <v>16</v>
      </c>
      <c r="J24" s="4">
        <v>201.8</v>
      </c>
      <c r="K24" s="4">
        <f t="shared" si="2"/>
        <v>13.800000000000011</v>
      </c>
      <c r="L24" s="4">
        <v>188</v>
      </c>
      <c r="M24" s="4">
        <v>177</v>
      </c>
      <c r="N24" s="4">
        <v>161.6</v>
      </c>
      <c r="O24" s="4">
        <v>138.19999999999999</v>
      </c>
      <c r="P24" s="4">
        <v>126.3</v>
      </c>
      <c r="Q24" s="4">
        <v>101.4</v>
      </c>
      <c r="R24" s="4">
        <v>87.8</v>
      </c>
      <c r="S24" s="4">
        <v>50.8</v>
      </c>
      <c r="T24" s="4">
        <v>21.8</v>
      </c>
    </row>
    <row r="25" spans="2:28" s="5" customFormat="1" ht="15.75" customHeight="1" x14ac:dyDescent="0.15">
      <c r="B25" s="4">
        <v>29</v>
      </c>
      <c r="C25" s="4" t="s">
        <v>27</v>
      </c>
      <c r="F25" s="4">
        <v>330.5</v>
      </c>
      <c r="G25" s="4" t="s">
        <v>34</v>
      </c>
      <c r="I25" s="3" t="s">
        <v>20</v>
      </c>
      <c r="J25" s="4">
        <v>331.2</v>
      </c>
      <c r="K25" s="4">
        <f t="shared" si="2"/>
        <v>14.5</v>
      </c>
      <c r="L25" s="4">
        <v>316.7</v>
      </c>
      <c r="M25" s="4">
        <v>303.7</v>
      </c>
      <c r="N25" s="4">
        <v>286.10000000000002</v>
      </c>
      <c r="O25" s="4">
        <v>265.5</v>
      </c>
      <c r="P25" s="4">
        <v>249.7</v>
      </c>
      <c r="Q25" s="4">
        <v>236.2</v>
      </c>
      <c r="R25" s="4">
        <v>226.7</v>
      </c>
      <c r="S25" s="4">
        <v>212</v>
      </c>
      <c r="T25" s="4">
        <v>204.1</v>
      </c>
    </row>
    <row r="26" spans="2:28" s="5" customFormat="1" ht="15.75" customHeight="1" x14ac:dyDescent="0.15">
      <c r="B26" s="4">
        <v>30</v>
      </c>
      <c r="C26" s="4" t="s">
        <v>30</v>
      </c>
      <c r="F26" s="4">
        <v>548.79999999999995</v>
      </c>
      <c r="G26" s="4" t="s">
        <v>25</v>
      </c>
      <c r="I26" s="6" t="s">
        <v>16</v>
      </c>
      <c r="J26" s="4">
        <v>546.6</v>
      </c>
      <c r="K26" s="4">
        <f t="shared" si="2"/>
        <v>14.100000000000023</v>
      </c>
      <c r="L26" s="4">
        <v>532.5</v>
      </c>
      <c r="M26" s="4">
        <v>490</v>
      </c>
      <c r="N26" s="4">
        <v>464.6</v>
      </c>
      <c r="O26" s="4">
        <v>437.8</v>
      </c>
      <c r="P26" s="4">
        <v>416.4</v>
      </c>
      <c r="Q26" s="4">
        <v>407</v>
      </c>
      <c r="R26" s="4">
        <v>387.6</v>
      </c>
      <c r="S26" s="4">
        <v>375.6</v>
      </c>
      <c r="T26" s="4">
        <v>352.9</v>
      </c>
      <c r="U26" s="4">
        <v>339.9</v>
      </c>
      <c r="V26" s="4">
        <v>330.4</v>
      </c>
      <c r="W26" s="4">
        <v>304.89999999999998</v>
      </c>
      <c r="X26" s="4">
        <v>288.3</v>
      </c>
      <c r="Y26" s="4">
        <v>266.39999999999998</v>
      </c>
    </row>
    <row r="27" spans="2:28" s="5" customFormat="1" ht="15.75" customHeight="1" x14ac:dyDescent="0.15">
      <c r="B27" s="4">
        <v>31</v>
      </c>
      <c r="C27" s="4" t="s">
        <v>30</v>
      </c>
      <c r="D27" s="4">
        <v>366.3</v>
      </c>
      <c r="F27" s="4">
        <v>592.5</v>
      </c>
      <c r="G27" s="4" t="s">
        <v>35</v>
      </c>
      <c r="I27" s="6" t="s">
        <v>16</v>
      </c>
      <c r="J27" s="4">
        <v>592.5</v>
      </c>
      <c r="K27" s="4">
        <f>J27-L27</f>
        <v>34.700000000000045</v>
      </c>
      <c r="L27" s="4">
        <v>557.79999999999995</v>
      </c>
      <c r="M27" s="4">
        <v>522.29999999999995</v>
      </c>
      <c r="N27" s="4">
        <v>483</v>
      </c>
      <c r="O27" s="4">
        <v>445.4</v>
      </c>
      <c r="P27" s="4">
        <v>414.4</v>
      </c>
      <c r="Q27" s="4">
        <v>385</v>
      </c>
      <c r="R27" s="4">
        <v>366.3</v>
      </c>
    </row>
    <row r="28" spans="2:28" s="5" customFormat="1" ht="15.75" customHeight="1" x14ac:dyDescent="0.15">
      <c r="B28" s="4">
        <v>32</v>
      </c>
      <c r="C28" s="4" t="s">
        <v>27</v>
      </c>
      <c r="F28" s="4">
        <v>520.1</v>
      </c>
      <c r="G28" s="4" t="s">
        <v>22</v>
      </c>
      <c r="I28" s="6" t="s">
        <v>16</v>
      </c>
      <c r="J28" s="4">
        <v>518.29999999999995</v>
      </c>
      <c r="K28" s="4">
        <f t="shared" si="2"/>
        <v>32.899999999999977</v>
      </c>
      <c r="L28" s="4">
        <v>485.4</v>
      </c>
      <c r="M28" s="4">
        <v>457.5</v>
      </c>
      <c r="N28" s="4">
        <v>429.2</v>
      </c>
      <c r="O28" s="4">
        <v>403.2</v>
      </c>
      <c r="P28" s="4">
        <v>376.9</v>
      </c>
      <c r="Q28" s="4">
        <v>350.2</v>
      </c>
      <c r="R28" s="4">
        <v>322.39999999999998</v>
      </c>
      <c r="S28" s="4">
        <v>295.8</v>
      </c>
      <c r="T28" s="4">
        <v>269.60000000000002</v>
      </c>
      <c r="U28" s="4">
        <v>244.2</v>
      </c>
      <c r="V28" s="4">
        <v>217.7</v>
      </c>
    </row>
    <row r="29" spans="2:28" s="5" customFormat="1" ht="15.75" customHeight="1" x14ac:dyDescent="0.15">
      <c r="B29" s="4">
        <v>33</v>
      </c>
      <c r="C29" s="4" t="s">
        <v>27</v>
      </c>
      <c r="F29" s="4">
        <v>395.7</v>
      </c>
      <c r="G29" s="4" t="s">
        <v>34</v>
      </c>
      <c r="I29" s="3" t="s">
        <v>20</v>
      </c>
      <c r="J29" s="4">
        <v>395.7</v>
      </c>
      <c r="K29" s="4">
        <f t="shared" si="2"/>
        <v>41.300000000000011</v>
      </c>
      <c r="L29" s="4">
        <v>354.4</v>
      </c>
      <c r="M29" s="4">
        <v>310.5</v>
      </c>
      <c r="N29" s="4">
        <v>269.39999999999998</v>
      </c>
      <c r="O29" s="4">
        <v>237.1</v>
      </c>
      <c r="P29" s="4">
        <v>199.1</v>
      </c>
      <c r="Q29" s="4">
        <v>172.2</v>
      </c>
      <c r="R29" s="4">
        <v>150</v>
      </c>
      <c r="S29" s="4">
        <v>97</v>
      </c>
      <c r="T29" s="4">
        <v>74.400000000000006</v>
      </c>
      <c r="U29" s="4">
        <v>15.4</v>
      </c>
    </row>
    <row r="30" spans="2:28" s="5" customFormat="1" ht="15.75" customHeight="1" x14ac:dyDescent="0.15">
      <c r="B30" s="4">
        <v>34</v>
      </c>
      <c r="C30" s="4" t="s">
        <v>27</v>
      </c>
      <c r="F30" s="4">
        <v>385.6</v>
      </c>
      <c r="G30" s="4" t="s">
        <v>34</v>
      </c>
      <c r="I30" s="3" t="s">
        <v>20</v>
      </c>
      <c r="J30" s="4">
        <v>385.6</v>
      </c>
      <c r="K30" s="4">
        <f t="shared" si="2"/>
        <v>16.700000000000045</v>
      </c>
      <c r="L30" s="4">
        <v>368.9</v>
      </c>
      <c r="M30" s="4">
        <v>343.7</v>
      </c>
      <c r="N30" s="4">
        <v>318.5</v>
      </c>
    </row>
    <row r="31" spans="2:28" s="5" customFormat="1" ht="15.75" customHeight="1" x14ac:dyDescent="0.15">
      <c r="B31" s="4">
        <v>35</v>
      </c>
      <c r="C31" s="4" t="s">
        <v>27</v>
      </c>
      <c r="F31" s="4">
        <v>540.6</v>
      </c>
      <c r="G31" s="4" t="s">
        <v>23</v>
      </c>
      <c r="I31" s="6" t="s">
        <v>16</v>
      </c>
      <c r="J31" s="4">
        <v>538.79999999999995</v>
      </c>
      <c r="K31" s="4">
        <f t="shared" si="2"/>
        <v>31.599999999999966</v>
      </c>
      <c r="L31" s="4">
        <v>507.2</v>
      </c>
      <c r="M31" s="4">
        <v>462.9</v>
      </c>
      <c r="N31" s="4">
        <v>419.3</v>
      </c>
      <c r="O31" s="4">
        <v>384.8</v>
      </c>
      <c r="P31" s="4">
        <v>337</v>
      </c>
      <c r="Q31" s="4">
        <v>304.8</v>
      </c>
      <c r="R31" s="4">
        <v>264.7</v>
      </c>
      <c r="S31" s="4">
        <v>233</v>
      </c>
      <c r="T31" s="8" t="s">
        <v>49</v>
      </c>
      <c r="U31" s="4">
        <v>171</v>
      </c>
      <c r="V31" s="4">
        <v>137.6</v>
      </c>
      <c r="W31" s="4">
        <v>112.9</v>
      </c>
      <c r="X31" s="4">
        <v>70.8</v>
      </c>
      <c r="Y31" s="4">
        <v>39.4</v>
      </c>
      <c r="Z31" s="4">
        <v>22</v>
      </c>
    </row>
    <row r="32" spans="2:28" s="5" customFormat="1" ht="15.75" customHeight="1" x14ac:dyDescent="0.15">
      <c r="B32" s="4">
        <v>36</v>
      </c>
      <c r="C32" s="4" t="s">
        <v>27</v>
      </c>
      <c r="F32" s="4">
        <v>519.20000000000005</v>
      </c>
      <c r="G32" s="4" t="s">
        <v>22</v>
      </c>
      <c r="I32" s="6" t="s">
        <v>16</v>
      </c>
      <c r="J32" s="4">
        <v>517</v>
      </c>
      <c r="K32" s="4">
        <f t="shared" si="2"/>
        <v>28.399999999999977</v>
      </c>
      <c r="L32" s="4">
        <v>488.6</v>
      </c>
      <c r="M32" s="4">
        <v>452.7</v>
      </c>
      <c r="N32" s="4">
        <v>407.3</v>
      </c>
      <c r="O32" s="4">
        <v>368.1</v>
      </c>
      <c r="P32" s="4">
        <v>334</v>
      </c>
      <c r="Q32" s="4">
        <v>302.5</v>
      </c>
      <c r="R32" s="4">
        <v>282.89999999999998</v>
      </c>
      <c r="S32" s="4">
        <v>251.7</v>
      </c>
      <c r="T32" s="4">
        <v>218.6</v>
      </c>
      <c r="U32" s="4">
        <v>190.7</v>
      </c>
      <c r="V32" s="4">
        <v>163.69999999999999</v>
      </c>
      <c r="W32" s="4">
        <v>140.6</v>
      </c>
      <c r="X32" s="4">
        <v>117.1</v>
      </c>
      <c r="Y32" s="4">
        <v>106.4</v>
      </c>
      <c r="Z32" s="4">
        <v>92.9</v>
      </c>
      <c r="AA32" s="4">
        <v>55.5</v>
      </c>
      <c r="AB32" s="4">
        <v>26.1</v>
      </c>
    </row>
    <row r="33" spans="2:29" s="5" customFormat="1" ht="15.75" customHeight="1" x14ac:dyDescent="0.15">
      <c r="B33" s="4">
        <v>37</v>
      </c>
      <c r="C33" s="4" t="s">
        <v>30</v>
      </c>
      <c r="F33" s="4">
        <v>444.4</v>
      </c>
      <c r="G33" s="4" t="s">
        <v>15</v>
      </c>
      <c r="I33" s="6" t="s">
        <v>16</v>
      </c>
      <c r="J33" s="4">
        <v>444.4</v>
      </c>
      <c r="L33" s="4">
        <v>315.10000000000002</v>
      </c>
      <c r="M33" s="4">
        <v>154.9</v>
      </c>
      <c r="N33" s="4">
        <v>13.3</v>
      </c>
    </row>
    <row r="34" spans="2:29" s="5" customFormat="1" ht="15.75" customHeight="1" x14ac:dyDescent="0.15">
      <c r="B34" s="4">
        <v>38</v>
      </c>
      <c r="C34" s="4" t="s">
        <v>27</v>
      </c>
      <c r="F34" s="4">
        <v>265.8</v>
      </c>
      <c r="G34" s="4" t="s">
        <v>47</v>
      </c>
      <c r="I34" s="6" t="s">
        <v>16</v>
      </c>
      <c r="J34" s="4">
        <v>265.8</v>
      </c>
      <c r="L34" s="4" t="s">
        <v>36</v>
      </c>
      <c r="M34" s="4">
        <v>210.5</v>
      </c>
      <c r="N34" s="4">
        <v>178.4</v>
      </c>
      <c r="O34" s="4">
        <v>145.30000000000001</v>
      </c>
      <c r="P34" s="4">
        <v>121.4</v>
      </c>
      <c r="Q34" s="4">
        <v>94.6</v>
      </c>
    </row>
    <row r="35" spans="2:29" s="5" customFormat="1" ht="15.75" customHeight="1" x14ac:dyDescent="0.15">
      <c r="B35" s="4">
        <v>39</v>
      </c>
      <c r="C35" s="4" t="s">
        <v>30</v>
      </c>
      <c r="F35" s="4">
        <v>527.29999999999995</v>
      </c>
      <c r="G35" s="4" t="s">
        <v>22</v>
      </c>
      <c r="I35" s="6" t="s">
        <v>16</v>
      </c>
      <c r="J35" s="4">
        <v>525.20000000000005</v>
      </c>
      <c r="L35" s="4">
        <v>511.1</v>
      </c>
      <c r="M35" s="4">
        <v>486</v>
      </c>
      <c r="N35" s="4">
        <v>448.6</v>
      </c>
      <c r="O35" s="4">
        <v>429.9</v>
      </c>
      <c r="P35" s="4">
        <v>428.4</v>
      </c>
      <c r="Q35" s="4">
        <v>421.6</v>
      </c>
    </row>
    <row r="36" spans="2:29" s="5" customFormat="1" ht="15.75" customHeight="1" x14ac:dyDescent="0.15">
      <c r="B36" s="4">
        <v>40</v>
      </c>
      <c r="C36" s="4" t="s">
        <v>27</v>
      </c>
      <c r="F36" s="4">
        <v>553.5</v>
      </c>
      <c r="G36" s="4" t="s">
        <v>37</v>
      </c>
      <c r="I36" s="6" t="s">
        <v>16</v>
      </c>
      <c r="J36" s="4" t="s">
        <v>38</v>
      </c>
      <c r="L36" s="4">
        <v>538.4</v>
      </c>
      <c r="M36" s="4">
        <v>528</v>
      </c>
      <c r="N36" s="4">
        <v>521.4</v>
      </c>
      <c r="O36" s="4">
        <v>516</v>
      </c>
      <c r="P36" s="4">
        <v>506.3</v>
      </c>
      <c r="Q36" s="4" t="s">
        <v>39</v>
      </c>
      <c r="R36" s="4">
        <v>491.8</v>
      </c>
      <c r="S36" s="4">
        <v>486.4</v>
      </c>
      <c r="T36" s="4">
        <v>480.1</v>
      </c>
      <c r="U36" s="4">
        <v>475.1</v>
      </c>
      <c r="V36" s="4">
        <v>464.6</v>
      </c>
      <c r="W36" s="4">
        <v>453.6</v>
      </c>
      <c r="X36" s="4">
        <v>448.3</v>
      </c>
      <c r="Y36" s="4">
        <v>439.1</v>
      </c>
      <c r="Z36" s="4">
        <v>429.8</v>
      </c>
      <c r="AA36" s="4">
        <v>421.4</v>
      </c>
    </row>
    <row r="37" spans="2:29" s="5" customFormat="1" ht="15.75" customHeight="1" x14ac:dyDescent="0.15">
      <c r="B37" s="4">
        <v>41</v>
      </c>
      <c r="C37" s="4" t="s">
        <v>27</v>
      </c>
      <c r="F37" s="4">
        <v>338.7</v>
      </c>
      <c r="G37" s="4" t="s">
        <v>35</v>
      </c>
      <c r="I37" s="3" t="s">
        <v>20</v>
      </c>
      <c r="J37" s="4">
        <v>338.7</v>
      </c>
      <c r="L37" s="4">
        <v>332.6</v>
      </c>
      <c r="M37" s="4">
        <v>275.39999999999998</v>
      </c>
      <c r="N37" s="4">
        <v>250.5</v>
      </c>
      <c r="O37" s="4">
        <v>246.4</v>
      </c>
      <c r="P37" s="4">
        <v>192.8</v>
      </c>
      <c r="Q37" s="4">
        <v>163.69999999999999</v>
      </c>
      <c r="R37" s="4">
        <v>140.1</v>
      </c>
      <c r="S37" s="4">
        <v>116.4</v>
      </c>
      <c r="T37" s="4">
        <v>91</v>
      </c>
      <c r="U37" s="4">
        <v>65.2</v>
      </c>
    </row>
    <row r="38" spans="2:29" s="5" customFormat="1" ht="15.75" customHeight="1" x14ac:dyDescent="0.15">
      <c r="B38" s="4">
        <v>42</v>
      </c>
      <c r="C38" s="4" t="s">
        <v>27</v>
      </c>
      <c r="F38" s="4">
        <v>356.2</v>
      </c>
      <c r="G38" s="4" t="s">
        <v>35</v>
      </c>
      <c r="I38" s="6" t="s">
        <v>16</v>
      </c>
      <c r="J38" s="4">
        <v>356.2</v>
      </c>
      <c r="L38" s="4">
        <v>282.8</v>
      </c>
      <c r="M38" s="4">
        <v>243.3</v>
      </c>
      <c r="N38" s="4">
        <v>162.30000000000001</v>
      </c>
      <c r="O38" s="4">
        <v>93.8</v>
      </c>
      <c r="P38" s="4">
        <v>13.1</v>
      </c>
    </row>
    <row r="39" spans="2:29" s="5" customFormat="1" ht="15.75" customHeight="1" x14ac:dyDescent="0.15">
      <c r="B39" s="4">
        <v>43</v>
      </c>
      <c r="C39" s="4" t="s">
        <v>27</v>
      </c>
      <c r="F39" s="4">
        <v>603.1</v>
      </c>
      <c r="G39" s="8" t="s">
        <v>37</v>
      </c>
      <c r="I39" s="6" t="s">
        <v>16</v>
      </c>
      <c r="J39" s="4" t="s">
        <v>40</v>
      </c>
      <c r="L39" s="4">
        <v>586.6</v>
      </c>
      <c r="M39" s="4">
        <v>575</v>
      </c>
      <c r="N39" s="4">
        <v>562.5</v>
      </c>
      <c r="O39" s="4">
        <v>547.20000000000005</v>
      </c>
      <c r="P39" s="4">
        <v>526.1</v>
      </c>
    </row>
    <row r="40" spans="2:29" s="5" customFormat="1" ht="15.75" customHeight="1" x14ac:dyDescent="0.15">
      <c r="B40" s="4">
        <v>44</v>
      </c>
      <c r="C40" s="4" t="s">
        <v>27</v>
      </c>
      <c r="F40" s="4">
        <v>568.5</v>
      </c>
      <c r="G40" s="8" t="s">
        <v>50</v>
      </c>
      <c r="I40" s="6" t="s">
        <v>16</v>
      </c>
      <c r="J40" s="4">
        <v>568.5</v>
      </c>
      <c r="L40" s="4">
        <v>556.1</v>
      </c>
      <c r="M40" s="4">
        <v>531.9</v>
      </c>
      <c r="N40" s="4">
        <v>518.5</v>
      </c>
      <c r="O40" s="4">
        <v>511.9</v>
      </c>
      <c r="P40" s="4">
        <v>504.8</v>
      </c>
      <c r="Q40" s="4">
        <v>477.4</v>
      </c>
    </row>
    <row r="41" spans="2:29" s="5" customFormat="1" ht="15.75" customHeight="1" x14ac:dyDescent="0.15">
      <c r="B41" s="4">
        <v>45</v>
      </c>
      <c r="C41" s="4" t="s">
        <v>27</v>
      </c>
      <c r="F41" s="4">
        <v>362.6</v>
      </c>
      <c r="G41" s="4" t="s">
        <v>41</v>
      </c>
      <c r="I41" s="3" t="s">
        <v>20</v>
      </c>
      <c r="J41" s="4">
        <v>363.1</v>
      </c>
      <c r="L41" s="4">
        <v>329</v>
      </c>
      <c r="M41" s="4">
        <v>286.2</v>
      </c>
      <c r="N41" s="4">
        <v>262.5</v>
      </c>
      <c r="O41" s="4">
        <v>234.4</v>
      </c>
      <c r="P41" s="4">
        <v>200.4</v>
      </c>
      <c r="Q41" s="4">
        <v>185.3</v>
      </c>
      <c r="R41" s="4">
        <v>131.4</v>
      </c>
      <c r="S41" s="4">
        <v>54</v>
      </c>
      <c r="T41" s="4">
        <v>24.9</v>
      </c>
      <c r="U41" s="4">
        <v>17</v>
      </c>
    </row>
    <row r="42" spans="2:29" s="5" customFormat="1" ht="15.75" customHeight="1" x14ac:dyDescent="0.15">
      <c r="B42" s="4">
        <v>46</v>
      </c>
      <c r="C42" s="4" t="s">
        <v>42</v>
      </c>
      <c r="F42" s="4">
        <v>387.7</v>
      </c>
      <c r="G42" s="4" t="s">
        <v>35</v>
      </c>
      <c r="I42" s="6" t="s">
        <v>16</v>
      </c>
      <c r="J42" s="4">
        <v>387.7</v>
      </c>
      <c r="L42" s="4">
        <v>341</v>
      </c>
      <c r="M42" s="4">
        <v>305.7</v>
      </c>
      <c r="N42" s="4">
        <v>262.8</v>
      </c>
      <c r="O42" s="4">
        <v>222.6</v>
      </c>
      <c r="P42" s="4">
        <v>186.1</v>
      </c>
      <c r="Q42" s="4">
        <v>157.6</v>
      </c>
      <c r="R42" s="4">
        <v>119.5</v>
      </c>
      <c r="S42" s="4">
        <v>83.5</v>
      </c>
      <c r="T42" s="4">
        <v>49.8</v>
      </c>
      <c r="U42" s="4">
        <v>26.8</v>
      </c>
      <c r="V42" s="4">
        <v>12.9</v>
      </c>
    </row>
    <row r="43" spans="2:29" s="5" customFormat="1" ht="15.75" customHeight="1" x14ac:dyDescent="0.15">
      <c r="B43" s="4">
        <v>47</v>
      </c>
      <c r="C43" s="4" t="s">
        <v>27</v>
      </c>
      <c r="F43" s="4">
        <v>356.9</v>
      </c>
      <c r="G43" s="4" t="s">
        <v>35</v>
      </c>
      <c r="I43" s="6" t="s">
        <v>16</v>
      </c>
      <c r="J43" s="4">
        <v>356.7</v>
      </c>
      <c r="L43" s="4">
        <v>339</v>
      </c>
      <c r="M43" s="4">
        <v>311.2</v>
      </c>
      <c r="N43" s="4">
        <v>259.60000000000002</v>
      </c>
      <c r="O43" s="4">
        <v>225.5</v>
      </c>
      <c r="P43" s="4">
        <v>191</v>
      </c>
      <c r="Q43" s="4">
        <v>144.80000000000001</v>
      </c>
      <c r="R43" s="4">
        <v>100.1</v>
      </c>
      <c r="S43" s="4">
        <v>53.5</v>
      </c>
      <c r="T43" s="4">
        <v>30.9</v>
      </c>
      <c r="U43" s="4">
        <v>12.9</v>
      </c>
    </row>
    <row r="44" spans="2:29" s="5" customFormat="1" ht="15.75" customHeight="1" x14ac:dyDescent="0.15">
      <c r="B44" s="4">
        <v>48</v>
      </c>
      <c r="C44" s="4" t="s">
        <v>27</v>
      </c>
      <c r="F44" s="4" t="s">
        <v>43</v>
      </c>
      <c r="G44" s="4" t="s">
        <v>35</v>
      </c>
      <c r="I44" s="3" t="s">
        <v>20</v>
      </c>
      <c r="J44" s="4">
        <v>362.8</v>
      </c>
      <c r="L44" s="4">
        <v>322.2</v>
      </c>
      <c r="M44" s="4">
        <v>284.39999999999998</v>
      </c>
      <c r="N44" s="4">
        <v>268.3</v>
      </c>
      <c r="O44" s="4">
        <v>249.2</v>
      </c>
      <c r="P44" s="4">
        <v>226.9</v>
      </c>
      <c r="Q44" s="4">
        <v>207</v>
      </c>
      <c r="R44" s="4">
        <v>188</v>
      </c>
      <c r="S44" s="4">
        <v>166.1</v>
      </c>
      <c r="T44" s="4">
        <v>142.1</v>
      </c>
      <c r="U44" s="4">
        <v>127.8</v>
      </c>
      <c r="V44" s="4">
        <v>110</v>
      </c>
    </row>
    <row r="45" spans="2:29" s="5" customFormat="1" ht="13" x14ac:dyDescent="0.15">
      <c r="B45" s="4">
        <v>49</v>
      </c>
      <c r="C45" s="4" t="s">
        <v>30</v>
      </c>
      <c r="F45" s="4">
        <v>607.5</v>
      </c>
      <c r="G45" s="4" t="s">
        <v>37</v>
      </c>
      <c r="I45" s="6" t="s">
        <v>16</v>
      </c>
      <c r="J45" s="4">
        <v>607.5</v>
      </c>
      <c r="L45" s="4">
        <v>585</v>
      </c>
      <c r="M45" s="4">
        <v>567.5</v>
      </c>
      <c r="N45" s="4">
        <v>541</v>
      </c>
      <c r="O45" s="4">
        <v>516.29999999999995</v>
      </c>
      <c r="P45" s="4">
        <v>488.4</v>
      </c>
      <c r="Q45" s="4">
        <v>467.5</v>
      </c>
      <c r="R45" s="4">
        <v>442.2</v>
      </c>
    </row>
    <row r="46" spans="2:29" s="5" customFormat="1" ht="13" x14ac:dyDescent="0.15">
      <c r="B46" s="4">
        <v>50</v>
      </c>
      <c r="C46" s="4" t="s">
        <v>44</v>
      </c>
      <c r="F46" s="4">
        <v>240.2</v>
      </c>
      <c r="G46" s="4" t="s">
        <v>41</v>
      </c>
      <c r="I46" s="3" t="s">
        <v>20</v>
      </c>
      <c r="J46" s="4">
        <v>240.2</v>
      </c>
      <c r="L46" s="4">
        <v>169.4</v>
      </c>
      <c r="M46" s="4">
        <v>111.4</v>
      </c>
      <c r="N46" s="4">
        <v>83.4</v>
      </c>
      <c r="O46" s="4">
        <v>58.2</v>
      </c>
      <c r="P46" s="4">
        <v>14.5</v>
      </c>
    </row>
    <row r="47" spans="2:29" s="5" customFormat="1" ht="13" x14ac:dyDescent="0.15">
      <c r="B47" s="4">
        <v>51</v>
      </c>
      <c r="C47" s="4" t="s">
        <v>27</v>
      </c>
      <c r="F47" s="4">
        <v>407.9</v>
      </c>
      <c r="G47" s="4" t="s">
        <v>35</v>
      </c>
      <c r="I47" s="3" t="s">
        <v>20</v>
      </c>
      <c r="J47" s="4">
        <v>407.9</v>
      </c>
      <c r="L47" s="4">
        <v>388.9</v>
      </c>
      <c r="M47" s="4">
        <v>367.9</v>
      </c>
      <c r="N47" s="4">
        <v>347.7</v>
      </c>
      <c r="O47" s="4">
        <v>323</v>
      </c>
      <c r="P47" s="4">
        <v>299.39999999999998</v>
      </c>
      <c r="Q47" s="4">
        <v>276.7</v>
      </c>
      <c r="R47" s="4">
        <v>255.3</v>
      </c>
      <c r="S47" s="4">
        <v>235.7</v>
      </c>
      <c r="T47" s="4">
        <v>213.8</v>
      </c>
      <c r="U47" s="4">
        <v>194.3</v>
      </c>
      <c r="V47" s="4">
        <v>173.7</v>
      </c>
      <c r="W47" s="4">
        <v>154.9</v>
      </c>
      <c r="X47" s="4">
        <v>127.6</v>
      </c>
      <c r="Y47" s="4">
        <v>109.2</v>
      </c>
      <c r="Z47" s="4">
        <v>83.4</v>
      </c>
      <c r="AA47" s="4">
        <v>59</v>
      </c>
      <c r="AB47" s="4">
        <v>48.1</v>
      </c>
      <c r="AC47" s="4">
        <v>25.9</v>
      </c>
    </row>
    <row r="48" spans="2:29" s="5" customFormat="1" ht="13" x14ac:dyDescent="0.15">
      <c r="B48" s="4">
        <v>52</v>
      </c>
      <c r="C48" s="4" t="s">
        <v>27</v>
      </c>
      <c r="F48" s="4">
        <v>564.70000000000005</v>
      </c>
      <c r="G48" s="4" t="s">
        <v>37</v>
      </c>
      <c r="I48" s="6" t="s">
        <v>45</v>
      </c>
      <c r="J48" s="4">
        <v>564.70000000000005</v>
      </c>
      <c r="L48" s="4">
        <v>547.1</v>
      </c>
      <c r="M48" s="4">
        <v>533.1</v>
      </c>
      <c r="N48" s="4">
        <v>516.1</v>
      </c>
      <c r="O48" s="4">
        <v>505.2</v>
      </c>
      <c r="P48" s="4">
        <v>489.1</v>
      </c>
      <c r="Q48" s="4">
        <v>474.9</v>
      </c>
      <c r="R48" s="4">
        <v>463.4</v>
      </c>
    </row>
    <row r="49" spans="2:22" s="5" customFormat="1" ht="13" x14ac:dyDescent="0.15">
      <c r="B49" s="4">
        <v>53</v>
      </c>
      <c r="C49" s="4" t="s">
        <v>27</v>
      </c>
      <c r="F49" s="4">
        <v>365.5</v>
      </c>
      <c r="G49" s="4" t="s">
        <v>35</v>
      </c>
      <c r="I49" s="3" t="s">
        <v>46</v>
      </c>
      <c r="J49" s="4">
        <v>365.5</v>
      </c>
      <c r="L49" s="4">
        <v>320.10000000000002</v>
      </c>
      <c r="M49" s="4">
        <v>229.9</v>
      </c>
      <c r="N49" s="9">
        <v>180.6</v>
      </c>
      <c r="O49" s="4">
        <v>154.30000000000001</v>
      </c>
      <c r="P49" s="4">
        <v>122.3</v>
      </c>
      <c r="Q49" s="4">
        <v>91.7</v>
      </c>
      <c r="R49" s="4">
        <v>64.2</v>
      </c>
      <c r="S49" s="4">
        <v>55.2</v>
      </c>
    </row>
    <row r="50" spans="2:22" s="5" customFormat="1" ht="13" x14ac:dyDescent="0.15">
      <c r="B50" s="4">
        <v>54</v>
      </c>
      <c r="C50" s="4" t="s">
        <v>27</v>
      </c>
      <c r="F50" s="4">
        <v>567.29999999999995</v>
      </c>
      <c r="G50" s="4" t="s">
        <v>37</v>
      </c>
      <c r="I50" s="6" t="s">
        <v>45</v>
      </c>
      <c r="J50" s="4">
        <v>567.29999999999995</v>
      </c>
      <c r="L50" s="4">
        <v>560.29999999999995</v>
      </c>
      <c r="M50" s="4">
        <v>540.4</v>
      </c>
      <c r="N50" s="4">
        <v>531.70000000000005</v>
      </c>
      <c r="O50" s="4">
        <v>512.9</v>
      </c>
      <c r="P50" s="4">
        <v>492.9</v>
      </c>
      <c r="Q50" s="4">
        <v>469.5</v>
      </c>
      <c r="R50" s="4">
        <v>450.5</v>
      </c>
      <c r="S50" s="4">
        <v>327.60000000000002</v>
      </c>
    </row>
    <row r="51" spans="2:22" s="5" customFormat="1" ht="13" x14ac:dyDescent="0.15">
      <c r="B51" s="4">
        <v>55</v>
      </c>
      <c r="C51" s="4" t="s">
        <v>27</v>
      </c>
      <c r="F51" s="4">
        <v>353.7</v>
      </c>
      <c r="G51" s="4" t="s">
        <v>41</v>
      </c>
      <c r="I51" s="3" t="s">
        <v>46</v>
      </c>
      <c r="J51" s="4">
        <v>353.7</v>
      </c>
      <c r="L51" s="4">
        <v>305.7</v>
      </c>
      <c r="M51" s="4">
        <v>272.2</v>
      </c>
      <c r="N51" s="4">
        <v>230.1</v>
      </c>
      <c r="O51" s="4">
        <v>207.1</v>
      </c>
      <c r="P51" s="4">
        <v>172.9</v>
      </c>
      <c r="Q51" s="4">
        <v>151.6</v>
      </c>
      <c r="R51" s="4">
        <v>122</v>
      </c>
      <c r="S51" s="4">
        <v>104.9</v>
      </c>
      <c r="T51" s="4">
        <v>79.400000000000006</v>
      </c>
      <c r="U51" s="4">
        <v>48.1</v>
      </c>
      <c r="V51" s="4">
        <v>15.1</v>
      </c>
    </row>
    <row r="52" spans="2:22" s="5" customFormat="1" ht="13" x14ac:dyDescent="0.15">
      <c r="B52" s="4">
        <v>56</v>
      </c>
      <c r="C52" s="4" t="s">
        <v>27</v>
      </c>
      <c r="F52" s="4">
        <v>577</v>
      </c>
      <c r="G52" s="4" t="s">
        <v>37</v>
      </c>
      <c r="I52" s="6" t="s">
        <v>45</v>
      </c>
      <c r="J52" s="4">
        <v>577</v>
      </c>
      <c r="L52" s="4">
        <v>563</v>
      </c>
      <c r="M52" s="4">
        <v>528.70000000000005</v>
      </c>
      <c r="N52" s="4">
        <v>498.3</v>
      </c>
      <c r="O52" s="4">
        <v>472.3</v>
      </c>
      <c r="P52" s="4">
        <v>446</v>
      </c>
      <c r="Q52" s="4">
        <v>420.4</v>
      </c>
      <c r="R52" s="4">
        <v>401.7</v>
      </c>
      <c r="S52" s="4">
        <v>377.7</v>
      </c>
      <c r="T52" s="4">
        <v>356.4</v>
      </c>
      <c r="U52" s="4">
        <v>329</v>
      </c>
    </row>
    <row r="53" spans="2:22" s="5" customFormat="1" ht="13" x14ac:dyDescent="0.15">
      <c r="B53" s="4">
        <v>57</v>
      </c>
      <c r="C53" s="4" t="s">
        <v>30</v>
      </c>
      <c r="F53" s="4">
        <v>271.2</v>
      </c>
      <c r="G53" s="4" t="s">
        <v>41</v>
      </c>
      <c r="I53" s="3" t="s">
        <v>46</v>
      </c>
      <c r="J53" s="4">
        <v>271.2</v>
      </c>
      <c r="L53" s="4">
        <v>253.8</v>
      </c>
      <c r="M53" s="4">
        <v>230.3</v>
      </c>
      <c r="N53" s="4">
        <v>211.6</v>
      </c>
      <c r="O53" s="4">
        <v>189.3</v>
      </c>
      <c r="P53" s="4">
        <v>173</v>
      </c>
      <c r="Q53" s="4">
        <v>151.80000000000001</v>
      </c>
      <c r="R53" s="4">
        <v>134.5</v>
      </c>
      <c r="S53" s="4">
        <v>113.1</v>
      </c>
      <c r="T53" s="4">
        <v>93.6</v>
      </c>
    </row>
    <row r="54" spans="2:22" s="5" customFormat="1" ht="13" x14ac:dyDescent="0.15">
      <c r="B54" s="4">
        <v>58</v>
      </c>
      <c r="C54" s="4" t="s">
        <v>30</v>
      </c>
      <c r="F54" s="4">
        <v>212.4</v>
      </c>
      <c r="G54" s="4" t="s">
        <v>35</v>
      </c>
      <c r="I54" s="3" t="s">
        <v>46</v>
      </c>
      <c r="J54" s="4">
        <v>212.4</v>
      </c>
      <c r="L54" s="4">
        <v>201.4</v>
      </c>
      <c r="M54" s="4">
        <v>189.8</v>
      </c>
      <c r="N54" s="4">
        <v>180.3</v>
      </c>
      <c r="O54" s="4">
        <v>166.7</v>
      </c>
      <c r="P54" s="4">
        <v>159.69999999999999</v>
      </c>
      <c r="Q54" s="4">
        <v>146.1</v>
      </c>
      <c r="R54" s="4">
        <v>135.4</v>
      </c>
      <c r="S54" s="4">
        <v>123.6</v>
      </c>
      <c r="T54" s="9">
        <v>112.5</v>
      </c>
    </row>
    <row r="55" spans="2:22" s="5" customFormat="1" ht="13" x14ac:dyDescent="0.15">
      <c r="B55" s="4">
        <v>59</v>
      </c>
      <c r="C55" s="4" t="s">
        <v>27</v>
      </c>
      <c r="F55" s="4">
        <v>133.9</v>
      </c>
      <c r="G55" s="4" t="s">
        <v>35</v>
      </c>
      <c r="I55" s="3" t="s">
        <v>46</v>
      </c>
      <c r="J55" s="4">
        <v>133.9</v>
      </c>
      <c r="L55" s="4">
        <v>109.1</v>
      </c>
      <c r="M55" s="4">
        <v>64.099999999999994</v>
      </c>
      <c r="N55" s="4">
        <v>39.1</v>
      </c>
      <c r="O55" s="4">
        <v>38.299999999999997</v>
      </c>
      <c r="P55" s="4">
        <v>15.8</v>
      </c>
    </row>
    <row r="56" spans="2:22" s="5" customFormat="1" ht="13" x14ac:dyDescent="0.15">
      <c r="B56" s="4">
        <v>60</v>
      </c>
      <c r="C56" s="4" t="s">
        <v>27</v>
      </c>
      <c r="F56" s="4">
        <v>297.10000000000002</v>
      </c>
      <c r="G56" s="4" t="s">
        <v>35</v>
      </c>
      <c r="I56" s="6" t="s">
        <v>16</v>
      </c>
      <c r="J56" s="4">
        <v>297.10000000000002</v>
      </c>
      <c r="L56" s="4">
        <v>226.3</v>
      </c>
      <c r="M56" s="4">
        <v>147.4</v>
      </c>
      <c r="N56" s="4">
        <v>100.9</v>
      </c>
      <c r="O56" s="4">
        <v>40.9</v>
      </c>
      <c r="P56" s="4">
        <v>12.9</v>
      </c>
    </row>
    <row r="57" spans="2:22" s="5" customFormat="1" ht="13" x14ac:dyDescent="0.15">
      <c r="B57" s="4">
        <v>61</v>
      </c>
      <c r="C57" s="4" t="s">
        <v>30</v>
      </c>
      <c r="F57" s="4">
        <v>316.3</v>
      </c>
      <c r="G57" s="4" t="s">
        <v>35</v>
      </c>
      <c r="I57" s="6" t="s">
        <v>16</v>
      </c>
      <c r="J57" s="4">
        <v>316.3</v>
      </c>
      <c r="L57" s="4">
        <v>299.89999999999998</v>
      </c>
      <c r="M57" s="4">
        <v>274.10000000000002</v>
      </c>
      <c r="N57" s="4">
        <v>259.89999999999998</v>
      </c>
      <c r="O57" s="4">
        <v>236.8</v>
      </c>
      <c r="P57" s="4">
        <v>212.7</v>
      </c>
      <c r="Q57" s="4">
        <v>193.2</v>
      </c>
      <c r="R57" s="4">
        <v>180.1</v>
      </c>
      <c r="S57" s="4">
        <v>163</v>
      </c>
      <c r="T57" s="4">
        <v>121.8</v>
      </c>
    </row>
    <row r="58" spans="2:22" ht="13" x14ac:dyDescent="0.15">
      <c r="B58" s="1">
        <v>62</v>
      </c>
      <c r="C58" s="1" t="s">
        <v>30</v>
      </c>
      <c r="F58" s="1">
        <v>336.8</v>
      </c>
      <c r="G58" s="1" t="s">
        <v>35</v>
      </c>
      <c r="I58" s="2" t="s">
        <v>16</v>
      </c>
      <c r="J58" s="1">
        <v>336.8</v>
      </c>
      <c r="L58" s="1">
        <v>300.89999999999998</v>
      </c>
      <c r="M58" s="4">
        <v>278</v>
      </c>
      <c r="N58" s="4">
        <v>248.9</v>
      </c>
      <c r="O58" s="4">
        <v>213.7</v>
      </c>
      <c r="P58" s="4">
        <v>183.9</v>
      </c>
      <c r="Q58" s="1">
        <v>150</v>
      </c>
      <c r="R58" s="1">
        <v>123.9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Mohammadshafie, Alireza</cp:lastModifiedBy>
  <dcterms:created xsi:type="dcterms:W3CDTF">2025-06-01T03:08:50Z</dcterms:created>
  <dcterms:modified xsi:type="dcterms:W3CDTF">2025-06-01T03:10:46Z</dcterms:modified>
</cp:coreProperties>
</file>